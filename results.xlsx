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ysje\Documents\master-thesis-jens-nys\"/>
    </mc:Choice>
  </mc:AlternateContent>
  <xr:revisionPtr revIDLastSave="0" documentId="13_ncr:1_{F0A08106-EC7D-4C59-B49F-C94E80A263BC}" xr6:coauthVersionLast="47" xr6:coauthVersionMax="47" xr10:uidLastSave="{00000000-0000-0000-0000-000000000000}"/>
  <bookViews>
    <workbookView xWindow="10718" yWindow="0" windowWidth="10965" windowHeight="11512" xr2:uid="{449F8F00-3D6D-431F-8D6E-88D43EC65971}"/>
  </bookViews>
  <sheets>
    <sheet name="results" sheetId="2" r:id="rId1"/>
    <sheet name="Blad1" sheetId="1" r:id="rId2"/>
  </sheets>
  <definedNames>
    <definedName name="ExternalData_1" localSheetId="0" hidden="1">'results'!$A$1:$G$184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15" i="2" l="1"/>
  <c r="N15" i="2"/>
  <c r="K15" i="2"/>
  <c r="J15" i="2"/>
  <c r="M15" i="2"/>
  <c r="A3" i="2"/>
  <c r="A4" i="2" s="1"/>
  <c r="A5" i="2" s="1"/>
  <c r="A6" i="2" s="1"/>
  <c r="A7" i="2" s="1"/>
  <c r="A8" i="2" s="1"/>
  <c r="A9" i="2" s="1"/>
  <c r="A10" i="2" s="1"/>
  <c r="A11" i="2" s="1"/>
  <c r="I15" i="2" l="1"/>
  <c r="L15" i="2"/>
  <c r="H15" i="2"/>
  <c r="D15" i="2"/>
  <c r="B15" i="2"/>
  <c r="C15" i="2"/>
  <c r="E15" i="2"/>
  <c r="F15" i="2"/>
  <c r="G1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5AEA941-7B93-407D-805E-4D8B51F32A70}" keepAlive="1" name="Query - results" description="Verbinding maken met de query results in de werkmap." type="5" refreshedVersion="8" background="1" saveData="1">
    <dbPr connection="Provider=Microsoft.Mashup.OleDb.1;Data Source=$Workbook$;Location=results;Extended Properties=&quot;&quot;" command="SELECT * FROM [results]"/>
  </connection>
</connections>
</file>

<file path=xl/sharedStrings.xml><?xml version="1.0" encoding="utf-8"?>
<sst xmlns="http://schemas.openxmlformats.org/spreadsheetml/2006/main" count="21" uniqueCount="21">
  <si>
    <t>Kolom1</t>
  </si>
  <si>
    <t>vcgen_close/state_state</t>
  </si>
  <si>
    <t>vcgen_close_state_exp</t>
  </si>
  <si>
    <t>f2p2f_far/db</t>
  </si>
  <si>
    <t>f2p2f_close/reader_reader</t>
  </si>
  <si>
    <t>f2p2f_close/reader_exp</t>
  </si>
  <si>
    <t>f2p2f_close/state_state</t>
  </si>
  <si>
    <t>f2p2f_close/state_exp</t>
  </si>
  <si>
    <t>f2p2f_close/db</t>
  </si>
  <si>
    <t>f2p2f_far/reader_reader</t>
  </si>
  <si>
    <t>f2p2f_far/reader_exp</t>
  </si>
  <si>
    <t>f2p2f_far/state_state</t>
  </si>
  <si>
    <t>f2p2f_far/state_exp</t>
  </si>
  <si>
    <t>vcgen_close/db</t>
  </si>
  <si>
    <t>vcgen/reader_exp</t>
  </si>
  <si>
    <t>vcgenreader_reader</t>
  </si>
  <si>
    <t>vcgen_recursion/db</t>
  </si>
  <si>
    <t>vcgen_recursion/state_exp</t>
  </si>
  <si>
    <t>vcgen_recursion/state_state</t>
  </si>
  <si>
    <t>vcgen_recursion/reader_exp</t>
  </si>
  <si>
    <t>vcgen_recursion/reader_reader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</si>
</sst>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1" fontId="0" fillId="0" borderId="0" xfId="0" applyNumberFormat="1"/>
  </cellXfs>
  <cellStyles count="1">
    <cellStyle name="Standaard" xfId="0" builtinId="0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'results'!$B$1</c:f>
              <c:strCache>
                <c:ptCount val="1"/>
                <c:pt idx="0">
                  <c:v>f2p2f_close/reader_reader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'results'!$A$2:$A$11</c:f>
              <c:numCache>
                <c:formatCode>0.00</c:formatCode>
                <c:ptCount val="10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1600</c:v>
                </c:pt>
                <c:pt idx="4">
                  <c:v>3200</c:v>
                </c:pt>
                <c:pt idx="5">
                  <c:v>6400</c:v>
                </c:pt>
                <c:pt idx="6">
                  <c:v>12800</c:v>
                </c:pt>
                <c:pt idx="7">
                  <c:v>25600</c:v>
                </c:pt>
                <c:pt idx="8">
                  <c:v>51200</c:v>
                </c:pt>
                <c:pt idx="9">
                  <c:v>102400</c:v>
                </c:pt>
              </c:numCache>
            </c:numRef>
          </c:xVal>
          <c:yVal>
            <c:numRef>
              <c:f>'results'!$B$2:$B$11</c:f>
              <c:numCache>
                <c:formatCode>0.00E+00</c:formatCode>
                <c:ptCount val="10"/>
                <c:pt idx="0">
                  <c:v>2.0131202230774401E-5</c:v>
                </c:pt>
                <c:pt idx="1">
                  <c:v>4.3969014907722502E-5</c:v>
                </c:pt>
                <c:pt idx="2">
                  <c:v>9.0288833070729195E-5</c:v>
                </c:pt>
                <c:pt idx="3">
                  <c:v>2.1329206511670201E-4</c:v>
                </c:pt>
                <c:pt idx="4">
                  <c:v>4.9559592690296003E-4</c:v>
                </c:pt>
                <c:pt idx="5">
                  <c:v>1.28872724069879E-3</c:v>
                </c:pt>
                <c:pt idx="6">
                  <c:v>3.8285945574569602E-3</c:v>
                </c:pt>
                <c:pt idx="7">
                  <c:v>9.7624897002422002E-3</c:v>
                </c:pt>
                <c:pt idx="8">
                  <c:v>2.3649743750577299E-2</c:v>
                </c:pt>
                <c:pt idx="9">
                  <c:v>5.01924309212795E-2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25F-461C-828C-3EFC3E9899AF}"/>
            </c:ext>
          </c:extLst>
        </c:ser>
        <c:ser>
          <c:idx val="1"/>
          <c:order val="1"/>
          <c:tx>
            <c:strRef>
              <c:f>'results'!$C$1</c:f>
              <c:strCache>
                <c:ptCount val="1"/>
                <c:pt idx="0">
                  <c:v>f2p2f_close/reader_exp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'results'!$A$2:$A$11</c:f>
              <c:numCache>
                <c:formatCode>0.00</c:formatCode>
                <c:ptCount val="10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1600</c:v>
                </c:pt>
                <c:pt idx="4">
                  <c:v>3200</c:v>
                </c:pt>
                <c:pt idx="5">
                  <c:v>6400</c:v>
                </c:pt>
                <c:pt idx="6">
                  <c:v>12800</c:v>
                </c:pt>
                <c:pt idx="7">
                  <c:v>25600</c:v>
                </c:pt>
                <c:pt idx="8">
                  <c:v>51200</c:v>
                </c:pt>
                <c:pt idx="9">
                  <c:v>102400</c:v>
                </c:pt>
              </c:numCache>
            </c:numRef>
          </c:xVal>
          <c:yVal>
            <c:numRef>
              <c:f>'results'!$C$2:$C$11</c:f>
              <c:numCache>
                <c:formatCode>0.00E+00</c:formatCode>
                <c:ptCount val="10"/>
                <c:pt idx="0">
                  <c:v>2.0718474420572699E-5</c:v>
                </c:pt>
                <c:pt idx="1">
                  <c:v>4.13463835838929E-5</c:v>
                </c:pt>
                <c:pt idx="2">
                  <c:v>8.5987252860167499E-5</c:v>
                </c:pt>
                <c:pt idx="3">
                  <c:v>2.05785306925053E-4</c:v>
                </c:pt>
                <c:pt idx="4">
                  <c:v>4.6151308227460102E-4</c:v>
                </c:pt>
                <c:pt idx="5">
                  <c:v>1.1547063277616799E-3</c:v>
                </c:pt>
                <c:pt idx="6">
                  <c:v>3.5165325859288798E-3</c:v>
                </c:pt>
                <c:pt idx="7">
                  <c:v>9.2211516019265992E-3</c:v>
                </c:pt>
                <c:pt idx="8">
                  <c:v>2.4059513553773199E-2</c:v>
                </c:pt>
                <c:pt idx="9">
                  <c:v>5.4016503899967899E-2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25F-461C-828C-3EFC3E9899AF}"/>
            </c:ext>
          </c:extLst>
        </c:ser>
        <c:ser>
          <c:idx val="2"/>
          <c:order val="2"/>
          <c:tx>
            <c:strRef>
              <c:f>'results'!$D$1</c:f>
              <c:strCache>
                <c:ptCount val="1"/>
                <c:pt idx="0">
                  <c:v>f2p2f_close/state_state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'results'!$A$2:$A$11</c:f>
              <c:numCache>
                <c:formatCode>0.00</c:formatCode>
                <c:ptCount val="10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1600</c:v>
                </c:pt>
                <c:pt idx="4">
                  <c:v>3200</c:v>
                </c:pt>
                <c:pt idx="5">
                  <c:v>6400</c:v>
                </c:pt>
                <c:pt idx="6">
                  <c:v>12800</c:v>
                </c:pt>
                <c:pt idx="7">
                  <c:v>25600</c:v>
                </c:pt>
                <c:pt idx="8">
                  <c:v>51200</c:v>
                </c:pt>
                <c:pt idx="9">
                  <c:v>102400</c:v>
                </c:pt>
              </c:numCache>
            </c:numRef>
          </c:xVal>
          <c:yVal>
            <c:numRef>
              <c:f>'results'!$D$2:$D$11</c:f>
              <c:numCache>
                <c:formatCode>0.00E+00</c:formatCode>
                <c:ptCount val="10"/>
                <c:pt idx="0">
                  <c:v>2.0519894442844E-5</c:v>
                </c:pt>
                <c:pt idx="1">
                  <c:v>4.30608530787175E-5</c:v>
                </c:pt>
                <c:pt idx="2">
                  <c:v>8.6124454740383997E-5</c:v>
                </c:pt>
                <c:pt idx="3">
                  <c:v>2.04239164832342E-4</c:v>
                </c:pt>
                <c:pt idx="4">
                  <c:v>4.71624424322082E-4</c:v>
                </c:pt>
                <c:pt idx="5">
                  <c:v>1.1508956480652901E-3</c:v>
                </c:pt>
                <c:pt idx="6">
                  <c:v>3.5074851477001402E-3</c:v>
                </c:pt>
                <c:pt idx="7">
                  <c:v>9.2850957504710795E-3</c:v>
                </c:pt>
                <c:pt idx="8">
                  <c:v>2.41856035874204E-2</c:v>
                </c:pt>
                <c:pt idx="9">
                  <c:v>5.5041795490128401E-2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25F-461C-828C-3EFC3E9899AF}"/>
            </c:ext>
          </c:extLst>
        </c:ser>
        <c:ser>
          <c:idx val="3"/>
          <c:order val="3"/>
          <c:tx>
            <c:strRef>
              <c:f>'results'!$E$1</c:f>
              <c:strCache>
                <c:ptCount val="1"/>
                <c:pt idx="0">
                  <c:v>f2p2f_close/state_exp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'results'!$A$2:$A$11</c:f>
              <c:numCache>
                <c:formatCode>0.00</c:formatCode>
                <c:ptCount val="10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1600</c:v>
                </c:pt>
                <c:pt idx="4">
                  <c:v>3200</c:v>
                </c:pt>
                <c:pt idx="5">
                  <c:v>6400</c:v>
                </c:pt>
                <c:pt idx="6">
                  <c:v>12800</c:v>
                </c:pt>
                <c:pt idx="7">
                  <c:v>25600</c:v>
                </c:pt>
                <c:pt idx="8">
                  <c:v>51200</c:v>
                </c:pt>
                <c:pt idx="9">
                  <c:v>102400</c:v>
                </c:pt>
              </c:numCache>
            </c:numRef>
          </c:xVal>
          <c:yVal>
            <c:numRef>
              <c:f>'results'!$E$2:$E$11</c:f>
              <c:numCache>
                <c:formatCode>0.00E+00</c:formatCode>
                <c:ptCount val="10"/>
                <c:pt idx="0">
                  <c:v>3.1307687532273698E-5</c:v>
                </c:pt>
                <c:pt idx="1">
                  <c:v>6.3715728085533103E-5</c:v>
                </c:pt>
                <c:pt idx="2">
                  <c:v>1.32819767418122E-4</c:v>
                </c:pt>
                <c:pt idx="3">
                  <c:v>3.0495848050823198E-4</c:v>
                </c:pt>
                <c:pt idx="4">
                  <c:v>6.9085454380620099E-4</c:v>
                </c:pt>
                <c:pt idx="5">
                  <c:v>1.80997487254562E-3</c:v>
                </c:pt>
                <c:pt idx="6">
                  <c:v>4.98336112973143E-3</c:v>
                </c:pt>
                <c:pt idx="7">
                  <c:v>1.28477641143156E-2</c:v>
                </c:pt>
                <c:pt idx="8">
                  <c:v>2.946736184738E-2</c:v>
                </c:pt>
                <c:pt idx="9">
                  <c:v>6.5086987773513696E-2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25F-461C-828C-3EFC3E9899AF}"/>
            </c:ext>
          </c:extLst>
        </c:ser>
        <c:ser>
          <c:idx val="4"/>
          <c:order val="4"/>
          <c:tx>
            <c:strRef>
              <c:f>'results'!$F$1</c:f>
              <c:strCache>
                <c:ptCount val="1"/>
                <c:pt idx="0">
                  <c:v>f2p2f_close/db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'results'!$A$2:$A$11</c:f>
              <c:numCache>
                <c:formatCode>0.00</c:formatCode>
                <c:ptCount val="10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1600</c:v>
                </c:pt>
                <c:pt idx="4">
                  <c:v>3200</c:v>
                </c:pt>
                <c:pt idx="5">
                  <c:v>6400</c:v>
                </c:pt>
                <c:pt idx="6">
                  <c:v>12800</c:v>
                </c:pt>
                <c:pt idx="7">
                  <c:v>25600</c:v>
                </c:pt>
                <c:pt idx="8">
                  <c:v>51200</c:v>
                </c:pt>
                <c:pt idx="9">
                  <c:v>102400</c:v>
                </c:pt>
              </c:numCache>
            </c:numRef>
          </c:xVal>
          <c:yVal>
            <c:numRef>
              <c:f>'results'!$F$2:$F$11</c:f>
              <c:numCache>
                <c:formatCode>0.00E+00</c:formatCode>
                <c:ptCount val="10"/>
                <c:pt idx="0">
                  <c:v>2.0490017861254199E-5</c:v>
                </c:pt>
                <c:pt idx="1">
                  <c:v>4.19270673344265E-5</c:v>
                </c:pt>
                <c:pt idx="2">
                  <c:v>8.5707162095282005E-5</c:v>
                </c:pt>
                <c:pt idx="3">
                  <c:v>2.00702932634053E-4</c:v>
                </c:pt>
                <c:pt idx="4">
                  <c:v>4.6178310359654601E-4</c:v>
                </c:pt>
                <c:pt idx="5">
                  <c:v>1.17692388535198E-3</c:v>
                </c:pt>
                <c:pt idx="6">
                  <c:v>3.4301887497767101E-3</c:v>
                </c:pt>
                <c:pt idx="7">
                  <c:v>8.0852393035069896E-3</c:v>
                </c:pt>
                <c:pt idx="8">
                  <c:v>1.9078729726163601E-2</c:v>
                </c:pt>
                <c:pt idx="9">
                  <c:v>4.1688706003663999E-2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25F-461C-828C-3EFC3E9899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3073520"/>
        <c:axId val="1243075440"/>
      </c:scatterChart>
      <c:valAx>
        <c:axId val="1243073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243075440"/>
        <c:crosses val="autoZero"/>
        <c:crossBetween val="midCat"/>
      </c:valAx>
      <c:valAx>
        <c:axId val="124307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243073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'results'!$A$2:$A$11</c:f>
              <c:numCache>
                <c:formatCode>0.00</c:formatCode>
                <c:ptCount val="10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1600</c:v>
                </c:pt>
                <c:pt idx="4">
                  <c:v>3200</c:v>
                </c:pt>
                <c:pt idx="5">
                  <c:v>6400</c:v>
                </c:pt>
                <c:pt idx="6">
                  <c:v>12800</c:v>
                </c:pt>
                <c:pt idx="7">
                  <c:v>25600</c:v>
                </c:pt>
                <c:pt idx="8">
                  <c:v>51200</c:v>
                </c:pt>
                <c:pt idx="9">
                  <c:v>102400</c:v>
                </c:pt>
              </c:numCache>
            </c:numRef>
          </c:xVal>
          <c:yVal>
            <c:numRef>
              <c:f>'results'!#REF!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A2-481C-97B4-9B642367E8C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'results'!$A$2:$A$11</c:f>
              <c:numCache>
                <c:formatCode>0.00</c:formatCode>
                <c:ptCount val="10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1600</c:v>
                </c:pt>
                <c:pt idx="4">
                  <c:v>3200</c:v>
                </c:pt>
                <c:pt idx="5">
                  <c:v>6400</c:v>
                </c:pt>
                <c:pt idx="6">
                  <c:v>12800</c:v>
                </c:pt>
                <c:pt idx="7">
                  <c:v>25600</c:v>
                </c:pt>
                <c:pt idx="8">
                  <c:v>51200</c:v>
                </c:pt>
                <c:pt idx="9">
                  <c:v>102400</c:v>
                </c:pt>
              </c:numCache>
            </c:numRef>
          </c:xVal>
          <c:yVal>
            <c:numRef>
              <c:f>'results'!#REF!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A2-481C-97B4-9B642367E8CC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'results'!$A$2:$A$11</c:f>
              <c:numCache>
                <c:formatCode>0.00</c:formatCode>
                <c:ptCount val="10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1600</c:v>
                </c:pt>
                <c:pt idx="4">
                  <c:v>3200</c:v>
                </c:pt>
                <c:pt idx="5">
                  <c:v>6400</c:v>
                </c:pt>
                <c:pt idx="6">
                  <c:v>12800</c:v>
                </c:pt>
                <c:pt idx="7">
                  <c:v>25600</c:v>
                </c:pt>
                <c:pt idx="8">
                  <c:v>51200</c:v>
                </c:pt>
                <c:pt idx="9">
                  <c:v>102400</c:v>
                </c:pt>
              </c:numCache>
            </c:numRef>
          </c:xVal>
          <c:yVal>
            <c:numRef>
              <c:f>'results'!#REF!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A2-481C-97B4-9B642367E8CC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'results'!$A$2:$A$11</c:f>
              <c:numCache>
                <c:formatCode>0.00</c:formatCode>
                <c:ptCount val="10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1600</c:v>
                </c:pt>
                <c:pt idx="4">
                  <c:v>3200</c:v>
                </c:pt>
                <c:pt idx="5">
                  <c:v>6400</c:v>
                </c:pt>
                <c:pt idx="6">
                  <c:v>12800</c:v>
                </c:pt>
                <c:pt idx="7">
                  <c:v>25600</c:v>
                </c:pt>
                <c:pt idx="8">
                  <c:v>51200</c:v>
                </c:pt>
                <c:pt idx="9">
                  <c:v>102400</c:v>
                </c:pt>
              </c:numCache>
            </c:numRef>
          </c:xVal>
          <c:yVal>
            <c:numRef>
              <c:f>'results'!#REF!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DA2-481C-97B4-9B642367E8CC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'results'!$A$2:$A$11</c:f>
              <c:numCache>
                <c:formatCode>0.00</c:formatCode>
                <c:ptCount val="10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1600</c:v>
                </c:pt>
                <c:pt idx="4">
                  <c:v>3200</c:v>
                </c:pt>
                <c:pt idx="5">
                  <c:v>6400</c:v>
                </c:pt>
                <c:pt idx="6">
                  <c:v>12800</c:v>
                </c:pt>
                <c:pt idx="7">
                  <c:v>25600</c:v>
                </c:pt>
                <c:pt idx="8">
                  <c:v>51200</c:v>
                </c:pt>
                <c:pt idx="9">
                  <c:v>102400</c:v>
                </c:pt>
              </c:numCache>
            </c:numRef>
          </c:xVal>
          <c:yVal>
            <c:numRef>
              <c:f>'results'!#REF!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DA2-481C-97B4-9B642367E8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6240272"/>
        <c:axId val="1136239792"/>
      </c:scatterChart>
      <c:valAx>
        <c:axId val="1136240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136239792"/>
        <c:crosses val="autoZero"/>
        <c:crossBetween val="midCat"/>
      </c:valAx>
      <c:valAx>
        <c:axId val="113623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1362402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'results'!$Q$2:$Q$9</c:f>
              <c:numCache>
                <c:formatCode>0.00E+00</c:formatCode>
                <c:ptCount val="8"/>
                <c:pt idx="0">
                  <c:v>8.7544377321890205E-4</c:v>
                </c:pt>
                <c:pt idx="1">
                  <c:v>3.1784414389011998E-3</c:v>
                </c:pt>
                <c:pt idx="2">
                  <c:v>2.2012925185748902E-2</c:v>
                </c:pt>
                <c:pt idx="3">
                  <c:v>4.9345326616652398E-2</c:v>
                </c:pt>
                <c:pt idx="4" formatCode="General">
                  <c:v>0.16426066061224401</c:v>
                </c:pt>
                <c:pt idx="5" formatCode="General">
                  <c:v>0.57769400833333395</c:v>
                </c:pt>
                <c:pt idx="6" formatCode="General">
                  <c:v>2.24653863958333</c:v>
                </c:pt>
                <c:pt idx="7" formatCode="General">
                  <c:v>9.5423303729166609</c:v>
                </c:pt>
              </c:numCache>
            </c:numRef>
          </c:xVal>
          <c:yVal>
            <c:numRef>
              <c:f>'results'!$R$2:$R$9</c:f>
              <c:numCache>
                <c:formatCode>0.00E+00</c:formatCode>
                <c:ptCount val="8"/>
                <c:pt idx="0">
                  <c:v>9.0427394993400996E-4</c:v>
                </c:pt>
                <c:pt idx="1">
                  <c:v>3.21612767949597E-3</c:v>
                </c:pt>
                <c:pt idx="2">
                  <c:v>2.0863801783045401E-2</c:v>
                </c:pt>
                <c:pt idx="3">
                  <c:v>4.9007178558342801E-2</c:v>
                </c:pt>
                <c:pt idx="4" formatCode="General">
                  <c:v>0.160266355068025</c:v>
                </c:pt>
                <c:pt idx="5" formatCode="General">
                  <c:v>0.58595433749999604</c:v>
                </c:pt>
                <c:pt idx="6" formatCode="General">
                  <c:v>2.2155165083333301</c:v>
                </c:pt>
                <c:pt idx="7" formatCode="General">
                  <c:v>9.6022369791666602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7B-414E-974A-F2AD2300DC23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'results'!$Q$2:$Q$9</c:f>
              <c:numCache>
                <c:formatCode>0.00E+00</c:formatCode>
                <c:ptCount val="8"/>
                <c:pt idx="0">
                  <c:v>8.7544377321890205E-4</c:v>
                </c:pt>
                <c:pt idx="1">
                  <c:v>3.1784414389011998E-3</c:v>
                </c:pt>
                <c:pt idx="2">
                  <c:v>2.2012925185748902E-2</c:v>
                </c:pt>
                <c:pt idx="3">
                  <c:v>4.9345326616652398E-2</c:v>
                </c:pt>
                <c:pt idx="4" formatCode="General">
                  <c:v>0.16426066061224401</c:v>
                </c:pt>
                <c:pt idx="5" formatCode="General">
                  <c:v>0.57769400833333395</c:v>
                </c:pt>
                <c:pt idx="6" formatCode="General">
                  <c:v>2.24653863958333</c:v>
                </c:pt>
                <c:pt idx="7" formatCode="General">
                  <c:v>9.5423303729166609</c:v>
                </c:pt>
              </c:numCache>
            </c:numRef>
          </c:xVal>
          <c:yVal>
            <c:numRef>
              <c:f>'results'!$S$2:$S$9</c:f>
              <c:numCache>
                <c:formatCode>0.00E+00</c:formatCode>
                <c:ptCount val="8"/>
                <c:pt idx="0">
                  <c:v>1.0847988533228201E-3</c:v>
                </c:pt>
                <c:pt idx="1">
                  <c:v>3.9352377088908898E-3</c:v>
                </c:pt>
                <c:pt idx="2">
                  <c:v>2.3548063082452601E-2</c:v>
                </c:pt>
                <c:pt idx="3">
                  <c:v>5.4665093222405398E-2</c:v>
                </c:pt>
                <c:pt idx="4" formatCode="General">
                  <c:v>0.17755171853741</c:v>
                </c:pt>
                <c:pt idx="5" formatCode="General">
                  <c:v>0.59185468541665798</c:v>
                </c:pt>
                <c:pt idx="6" formatCode="General">
                  <c:v>2.3944430104166701</c:v>
                </c:pt>
                <c:pt idx="7" formatCode="General">
                  <c:v>9.9041128583333293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7B-414E-974A-F2AD2300DC23}"/>
            </c:ext>
          </c:extLst>
        </c:ser>
        <c:ser>
          <c:idx val="2"/>
          <c:order val="2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'results'!$Q$2:$Q$9</c:f>
              <c:numCache>
                <c:formatCode>0.00E+00</c:formatCode>
                <c:ptCount val="8"/>
                <c:pt idx="0">
                  <c:v>8.7544377321890205E-4</c:v>
                </c:pt>
                <c:pt idx="1">
                  <c:v>3.1784414389011998E-3</c:v>
                </c:pt>
                <c:pt idx="2">
                  <c:v>2.2012925185748902E-2</c:v>
                </c:pt>
                <c:pt idx="3">
                  <c:v>4.9345326616652398E-2</c:v>
                </c:pt>
                <c:pt idx="4" formatCode="General">
                  <c:v>0.16426066061224401</c:v>
                </c:pt>
                <c:pt idx="5" formatCode="General">
                  <c:v>0.57769400833333395</c:v>
                </c:pt>
                <c:pt idx="6" formatCode="General">
                  <c:v>2.24653863958333</c:v>
                </c:pt>
                <c:pt idx="7" formatCode="General">
                  <c:v>9.5423303729166609</c:v>
                </c:pt>
              </c:numCache>
            </c:numRef>
          </c:xVal>
          <c:yVal>
            <c:numRef>
              <c:f>'results'!$T$2:$T$9</c:f>
              <c:numCache>
                <c:formatCode>0.00E+00</c:formatCode>
                <c:ptCount val="8"/>
                <c:pt idx="0">
                  <c:v>9.9152226963362803E-4</c:v>
                </c:pt>
                <c:pt idx="1">
                  <c:v>3.4937893403565201E-3</c:v>
                </c:pt>
                <c:pt idx="2">
                  <c:v>2.1095169986807698E-2</c:v>
                </c:pt>
                <c:pt idx="3">
                  <c:v>5.10996171709494E-2</c:v>
                </c:pt>
                <c:pt idx="4" formatCode="General">
                  <c:v>0.168023730850343</c:v>
                </c:pt>
                <c:pt idx="5" formatCode="General">
                  <c:v>0.57683094375000998</c:v>
                </c:pt>
                <c:pt idx="6" formatCode="General">
                  <c:v>2.2688234833333198</c:v>
                </c:pt>
                <c:pt idx="7" formatCode="General">
                  <c:v>9.7141137333333294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57B-414E-974A-F2AD2300DC23}"/>
            </c:ext>
          </c:extLst>
        </c:ser>
        <c:ser>
          <c:idx val="3"/>
          <c:order val="3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'results'!$Q$2:$Q$9</c:f>
              <c:numCache>
                <c:formatCode>0.00E+00</c:formatCode>
                <c:ptCount val="8"/>
                <c:pt idx="0">
                  <c:v>8.7544377321890205E-4</c:v>
                </c:pt>
                <c:pt idx="1">
                  <c:v>3.1784414389011998E-3</c:v>
                </c:pt>
                <c:pt idx="2">
                  <c:v>2.2012925185748902E-2</c:v>
                </c:pt>
                <c:pt idx="3">
                  <c:v>4.9345326616652398E-2</c:v>
                </c:pt>
                <c:pt idx="4" formatCode="General">
                  <c:v>0.16426066061224401</c:v>
                </c:pt>
                <c:pt idx="5" formatCode="General">
                  <c:v>0.57769400833333395</c:v>
                </c:pt>
                <c:pt idx="6" formatCode="General">
                  <c:v>2.24653863958333</c:v>
                </c:pt>
                <c:pt idx="7" formatCode="General">
                  <c:v>9.5423303729166609</c:v>
                </c:pt>
              </c:numCache>
            </c:numRef>
          </c:xVal>
          <c:yVal>
            <c:numRef>
              <c:f>'results'!$U$2:$U$9</c:f>
              <c:numCache>
                <c:formatCode>0.00E+00</c:formatCode>
                <c:ptCount val="8"/>
                <c:pt idx="0">
                  <c:v>8.6367711105416801E-4</c:v>
                </c:pt>
                <c:pt idx="1">
                  <c:v>3.1539659868032098E-3</c:v>
                </c:pt>
                <c:pt idx="2">
                  <c:v>2.0358312378138399E-2</c:v>
                </c:pt>
                <c:pt idx="3">
                  <c:v>4.8363145830814303E-2</c:v>
                </c:pt>
                <c:pt idx="4" formatCode="General">
                  <c:v>0.16517125210884301</c:v>
                </c:pt>
                <c:pt idx="5" formatCode="General">
                  <c:v>0.56462404999999904</c:v>
                </c:pt>
                <c:pt idx="6" formatCode="General">
                  <c:v>2.2300808687499898</c:v>
                </c:pt>
                <c:pt idx="7" formatCode="General">
                  <c:v>9.5034406354166592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57B-414E-974A-F2AD2300D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621392"/>
        <c:axId val="91616592"/>
      </c:scatterChart>
      <c:valAx>
        <c:axId val="91621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91616592"/>
        <c:crosses val="autoZero"/>
        <c:crossBetween val="midCat"/>
      </c:valAx>
      <c:valAx>
        <c:axId val="9161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916213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1285874</xdr:colOff>
      <xdr:row>17</xdr:row>
      <xdr:rowOff>105833</xdr:rowOff>
    </xdr:from>
    <xdr:to>
      <xdr:col>6</xdr:col>
      <xdr:colOff>1479020</xdr:colOff>
      <xdr:row>39</xdr:row>
      <xdr:rowOff>38099</xdr:rowOff>
    </xdr:to>
    <xdr:graphicFrame macro="">
      <xdr:nvGraphicFramePr>
        <xdr:cNvPr id="9" name="Grafiek 8">
          <a:extLst>
            <a:ext uri="{FF2B5EF4-FFF2-40B4-BE49-F238E27FC236}">
              <a16:creationId xmlns:a16="http://schemas.microsoft.com/office/drawing/2014/main" id="{FFD84724-C8C0-E03E-9628-1E3341AE98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580900</xdr:colOff>
      <xdr:row>8</xdr:row>
      <xdr:rowOff>16418</xdr:rowOff>
    </xdr:from>
    <xdr:to>
      <xdr:col>28</xdr:col>
      <xdr:colOff>634791</xdr:colOff>
      <xdr:row>23</xdr:row>
      <xdr:rowOff>33713</xdr:rowOff>
    </xdr:to>
    <xdr:graphicFrame macro="">
      <xdr:nvGraphicFramePr>
        <xdr:cNvPr id="10" name="Grafiek 9">
          <a:extLst>
            <a:ext uri="{FF2B5EF4-FFF2-40B4-BE49-F238E27FC236}">
              <a16:creationId xmlns:a16="http://schemas.microsoft.com/office/drawing/2014/main" id="{E10199A9-AD3E-1C88-5E4C-CEE60BC31D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806490</xdr:colOff>
      <xdr:row>8</xdr:row>
      <xdr:rowOff>173079</xdr:rowOff>
    </xdr:from>
    <xdr:to>
      <xdr:col>23</xdr:col>
      <xdr:colOff>590925</xdr:colOff>
      <xdr:row>24</xdr:row>
      <xdr:rowOff>8648</xdr:rowOff>
    </xdr:to>
    <xdr:graphicFrame macro="">
      <xdr:nvGraphicFramePr>
        <xdr:cNvPr id="11" name="Grafiek 10">
          <a:extLst>
            <a:ext uri="{FF2B5EF4-FFF2-40B4-BE49-F238E27FC236}">
              <a16:creationId xmlns:a16="http://schemas.microsoft.com/office/drawing/2014/main" id="{816E525A-3F42-4179-0250-35F223D986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81413E9-7670-4B5B-921B-659626810D3B}" autoFormatId="16" applyNumberFormats="0" applyBorderFormats="0" applyFontFormats="0" applyPatternFormats="0" applyAlignmentFormats="0" applyWidthHeightFormats="0">
  <queryTableRefresh nextId="22" unboundColumnsRight="14">
    <queryTableFields count="2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  <queryTableField id="14" dataBound="0" tableColumnId="14"/>
      <queryTableField id="15" dataBound="0" tableColumnId="15"/>
      <queryTableField id="16" dataBound="0" tableColumnId="16"/>
      <queryTableField id="17" dataBound="0" tableColumnId="17"/>
      <queryTableField id="18" dataBound="0" tableColumnId="18"/>
      <queryTableField id="19" dataBound="0" tableColumnId="19"/>
      <queryTableField id="20" dataBound="0" tableColumnId="20"/>
      <queryTableField id="21" dataBound="0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8A38EE-CCDB-49CB-90A5-54DD9A82A11A}" name="results" displayName="results" ref="A1:U184" tableType="queryTable" totalsRowShown="0">
  <autoFilter ref="A1:U184" xr:uid="{2A8A38EE-CCDB-49CB-90A5-54DD9A82A11A}"/>
  <tableColumns count="21">
    <tableColumn id="1" xr3:uid="{40EFF4B5-2CED-4C9E-9118-1646CDFCEFA1}" uniqueName="1" name="Kolom1" queryTableFieldId="1" dataDxfId="20"/>
    <tableColumn id="2" xr3:uid="{803B10E1-290F-47FC-A14B-050C676BB612}" uniqueName="2" name="f2p2f_close/reader_reader" queryTableFieldId="2" dataDxfId="19"/>
    <tableColumn id="3" xr3:uid="{E96C6EEB-F365-49AA-8D35-44A0A49AB375}" uniqueName="3" name="f2p2f_close/reader_exp" queryTableFieldId="3" dataDxfId="18"/>
    <tableColumn id="4" xr3:uid="{052CCDD8-630E-41EF-8EAB-1AD713E978B7}" uniqueName="4" name="f2p2f_close/state_state" queryTableFieldId="4" dataDxfId="17"/>
    <tableColumn id="5" xr3:uid="{537532F7-B588-4C02-81E3-48637C770B91}" uniqueName="5" name="f2p2f_close/state_exp" queryTableFieldId="5" dataDxfId="16"/>
    <tableColumn id="6" xr3:uid="{0DC49F7F-468D-424C-B9EA-CDDF71ED3DB1}" uniqueName="6" name="f2p2f_close/db" queryTableFieldId="6" dataDxfId="15"/>
    <tableColumn id="7" xr3:uid="{EB4DABBC-0688-45BF-98EA-F879262E19AD}" uniqueName="7" name="f2p2f_far/reader_reader" queryTableFieldId="7" dataDxfId="14"/>
    <tableColumn id="8" xr3:uid="{7734FCBF-BE35-4284-8A33-C87ED8F21D07}" uniqueName="8" name="f2p2f_far/reader_exp" queryTableFieldId="8" dataDxfId="13"/>
    <tableColumn id="9" xr3:uid="{210C3FEA-CAE9-461F-A363-6E5647BA6172}" uniqueName="9" name="f2p2f_far/state_state" queryTableFieldId="9" dataDxfId="12"/>
    <tableColumn id="10" xr3:uid="{14BBBDB8-BD71-4BD7-BC41-5A9AC6DF5508}" uniqueName="10" name="f2p2f_far/state_exp" queryTableFieldId="10" dataDxfId="11"/>
    <tableColumn id="11" xr3:uid="{B9DBD5FF-92FB-4A16-AA30-85BC1F691789}" uniqueName="11" name="f2p2f_far/db" queryTableFieldId="11" dataDxfId="10"/>
    <tableColumn id="12" xr3:uid="{AD98354E-8D4C-4D46-B440-679FB8613AF1}" uniqueName="12" name="vcgenreader_reader" queryTableFieldId="12" dataDxfId="9"/>
    <tableColumn id="13" xr3:uid="{009A9948-4FFB-4F3B-BDC5-AB5834CE6A25}" uniqueName="13" name="vcgen/reader_exp" queryTableFieldId="13" dataDxfId="8"/>
    <tableColumn id="14" xr3:uid="{0835F2B0-C840-4E25-A804-2CC52CFFF3DA}" uniqueName="14" name="vcgen_close/state_state" queryTableFieldId="14" dataDxfId="7"/>
    <tableColumn id="15" xr3:uid="{8B5AA650-6DFA-4A88-9F04-1C0A07D6132E}" uniqueName="15" name="vcgen_close_state_exp" queryTableFieldId="15" dataDxfId="6"/>
    <tableColumn id="16" xr3:uid="{1688453E-FC63-47C9-ACA7-3974FAA81C6B}" uniqueName="16" name="vcgen_close/db" queryTableFieldId="16" dataDxfId="5"/>
    <tableColumn id="17" xr3:uid="{ECEEDDC2-B929-46A3-87A3-A0E61BAB8D05}" uniqueName="17" name="vcgen_recursion/reader_reader" queryTableFieldId="17" dataDxfId="4"/>
    <tableColumn id="18" xr3:uid="{85D36FB3-522B-48D4-9E12-3CFC37967E81}" uniqueName="18" name="vcgen_recursion/reader_exp" queryTableFieldId="18" dataDxfId="3"/>
    <tableColumn id="19" xr3:uid="{39004743-5632-412A-A6B7-544D053671CA}" uniqueName="19" name="vcgen_recursion/state_state" queryTableFieldId="19" dataDxfId="2"/>
    <tableColumn id="20" xr3:uid="{B2C42C36-237F-49B9-93A0-E9CB20FB5D9B}" uniqueName="20" name="vcgen_recursion/state_exp" queryTableFieldId="20" dataDxfId="1"/>
    <tableColumn id="21" xr3:uid="{93A2DA46-0F26-4176-ACE2-49121EF17CCA}" uniqueName="21" name="vcgen_recursion/db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C939A-324F-4B3A-81BB-0487FC774C76}">
  <dimension ref="A1:X34"/>
  <sheetViews>
    <sheetView tabSelected="1" topLeftCell="J1" zoomScale="76" workbookViewId="0">
      <selection sqref="A1:U11"/>
    </sheetView>
  </sheetViews>
  <sheetFormatPr defaultRowHeight="14.25" x14ac:dyDescent="0.45"/>
  <cols>
    <col min="1" max="1" width="28.53125" bestFit="1" customWidth="1"/>
    <col min="2" max="5" width="21" bestFit="1" customWidth="1"/>
    <col min="6" max="7" width="21.06640625" bestFit="1" customWidth="1"/>
    <col min="8" max="8" width="23.9296875" bestFit="1" customWidth="1"/>
    <col min="9" max="10" width="23.73046875" bestFit="1" customWidth="1"/>
    <col min="11" max="11" width="22.59765625" bestFit="1" customWidth="1"/>
    <col min="12" max="12" width="29" bestFit="1" customWidth="1"/>
    <col min="13" max="13" width="26.59765625" bestFit="1" customWidth="1"/>
    <col min="14" max="14" width="22.86328125" bestFit="1" customWidth="1"/>
    <col min="15" max="15" width="21.86328125" bestFit="1" customWidth="1"/>
    <col min="16" max="16" width="21.06640625" bestFit="1" customWidth="1"/>
    <col min="17" max="17" width="9.1328125" bestFit="1" customWidth="1"/>
    <col min="18" max="19" width="15.33203125" bestFit="1" customWidth="1"/>
    <col min="20" max="21" width="9.1328125" bestFit="1" customWidth="1"/>
  </cols>
  <sheetData>
    <row r="1" spans="1:24" x14ac:dyDescent="0.45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3</v>
      </c>
      <c r="L1" t="s">
        <v>15</v>
      </c>
      <c r="M1" t="s">
        <v>14</v>
      </c>
      <c r="N1" t="s">
        <v>1</v>
      </c>
      <c r="O1" t="s">
        <v>2</v>
      </c>
      <c r="P1" t="s">
        <v>13</v>
      </c>
      <c r="Q1" t="s">
        <v>20</v>
      </c>
      <c r="R1" t="s">
        <v>19</v>
      </c>
      <c r="S1" t="s">
        <v>18</v>
      </c>
      <c r="T1" t="s">
        <v>17</v>
      </c>
      <c r="U1" t="s">
        <v>16</v>
      </c>
    </row>
    <row r="2" spans="1:24" x14ac:dyDescent="0.45">
      <c r="A2" s="1">
        <v>200</v>
      </c>
      <c r="B2" s="2">
        <v>2.0131202230774401E-5</v>
      </c>
      <c r="C2" s="2">
        <v>2.0718474420572699E-5</v>
      </c>
      <c r="D2" s="2">
        <v>2.0519894442844E-5</v>
      </c>
      <c r="E2" s="2">
        <v>3.1307687532273698E-5</v>
      </c>
      <c r="F2" s="2">
        <v>2.0490017861254199E-5</v>
      </c>
      <c r="G2" s="2">
        <v>2.2076358831638899E-5</v>
      </c>
      <c r="H2" s="2">
        <v>2.1525629286888801E-5</v>
      </c>
      <c r="I2" s="2">
        <v>2.1349477191319701E-5</v>
      </c>
      <c r="J2" s="2">
        <v>3.3071160076727897E-5</v>
      </c>
      <c r="K2" s="2">
        <v>2.18041443238867E-5</v>
      </c>
      <c r="L2" s="2">
        <v>6.2570292507764004E-4</v>
      </c>
      <c r="M2" s="2">
        <v>6.5115877739902101E-4</v>
      </c>
      <c r="N2" s="2">
        <v>6.59292084622397E-4</v>
      </c>
      <c r="O2" s="2">
        <v>6.4449760661157202E-4</v>
      </c>
      <c r="P2" s="2">
        <v>5.9990216609542499E-4</v>
      </c>
      <c r="Q2" s="2">
        <v>8.7544377321890205E-4</v>
      </c>
      <c r="R2" s="2">
        <v>9.0427394993400996E-4</v>
      </c>
      <c r="S2" s="2">
        <v>1.0847988533228201E-3</v>
      </c>
      <c r="T2" s="2">
        <v>9.9152226963362803E-4</v>
      </c>
      <c r="U2" s="2">
        <v>8.6367711105416801E-4</v>
      </c>
      <c r="V2" s="2"/>
      <c r="W2" s="2"/>
      <c r="X2" s="2"/>
    </row>
    <row r="3" spans="1:24" x14ac:dyDescent="0.45">
      <c r="A3" s="1">
        <f>A2*2</f>
        <v>400</v>
      </c>
      <c r="B3" s="2">
        <v>4.3969014907722502E-5</v>
      </c>
      <c r="C3" s="2">
        <v>4.13463835838929E-5</v>
      </c>
      <c r="D3" s="2">
        <v>4.30608530787175E-5</v>
      </c>
      <c r="E3" s="2">
        <v>6.3715728085533103E-5</v>
      </c>
      <c r="F3" s="2">
        <v>4.19270673344265E-5</v>
      </c>
      <c r="G3" s="2">
        <v>4.5217717777102699E-5</v>
      </c>
      <c r="H3" s="2">
        <v>4.3781890830295401E-5</v>
      </c>
      <c r="I3" s="2">
        <v>4.4114984921813803E-5</v>
      </c>
      <c r="J3" s="2">
        <v>6.5723133544499102E-5</v>
      </c>
      <c r="K3" s="2">
        <v>4.3620525732658402E-5</v>
      </c>
      <c r="L3" s="2">
        <v>1.50018601989547E-3</v>
      </c>
      <c r="M3" s="2">
        <v>1.6012322405319201E-3</v>
      </c>
      <c r="N3" s="2">
        <v>1.61872235300602E-3</v>
      </c>
      <c r="O3" s="2">
        <v>1.5538941038068499E-3</v>
      </c>
      <c r="P3" s="2">
        <v>1.43134731590509E-3</v>
      </c>
      <c r="Q3" s="2">
        <v>3.1784414389011998E-3</v>
      </c>
      <c r="R3" s="2">
        <v>3.21612767949597E-3</v>
      </c>
      <c r="S3" s="2">
        <v>3.9352377088908898E-3</v>
      </c>
      <c r="T3" s="2">
        <v>3.4937893403565201E-3</v>
      </c>
      <c r="U3" s="2">
        <v>3.1539659868032098E-3</v>
      </c>
      <c r="V3" s="2"/>
      <c r="W3" s="2"/>
      <c r="X3" s="2"/>
    </row>
    <row r="4" spans="1:24" x14ac:dyDescent="0.45">
      <c r="A4" s="1">
        <f t="shared" ref="A4:A11" si="0">A3*2</f>
        <v>800</v>
      </c>
      <c r="B4" s="2">
        <v>9.0288833070729195E-5</v>
      </c>
      <c r="C4" s="2">
        <v>8.5987252860167499E-5</v>
      </c>
      <c r="D4" s="2">
        <v>8.6124454740383997E-5</v>
      </c>
      <c r="E4" s="2">
        <v>1.32819767418122E-4</v>
      </c>
      <c r="F4" s="2">
        <v>8.5707162095282005E-5</v>
      </c>
      <c r="G4" s="2">
        <v>9.3311720563847103E-5</v>
      </c>
      <c r="H4" s="2">
        <v>8.9524845345923394E-5</v>
      </c>
      <c r="I4" s="2">
        <v>9.0232700658541697E-5</v>
      </c>
      <c r="J4" s="2">
        <v>1.39339693290443E-4</v>
      </c>
      <c r="K4" s="2">
        <v>8.9582833478193998E-5</v>
      </c>
      <c r="L4" s="2">
        <v>4.0567846977495898E-3</v>
      </c>
      <c r="M4" s="2">
        <v>3.9637286887215404E-3</v>
      </c>
      <c r="N4" s="2">
        <v>4.4581401976789697E-3</v>
      </c>
      <c r="O4" s="2">
        <v>3.9996100067690703E-3</v>
      </c>
      <c r="P4" s="2">
        <v>3.7008351268270701E-3</v>
      </c>
      <c r="Q4" s="2">
        <v>2.2012925185748902E-2</v>
      </c>
      <c r="R4" s="2">
        <v>2.0863801783045401E-2</v>
      </c>
      <c r="S4" s="2">
        <v>2.3548063082452601E-2</v>
      </c>
      <c r="T4" s="2">
        <v>2.1095169986807698E-2</v>
      </c>
      <c r="U4" s="2">
        <v>2.0358312378138399E-2</v>
      </c>
      <c r="V4" s="2"/>
      <c r="W4" s="2"/>
      <c r="X4" s="2"/>
    </row>
    <row r="5" spans="1:24" x14ac:dyDescent="0.45">
      <c r="A5" s="1">
        <f t="shared" si="0"/>
        <v>1600</v>
      </c>
      <c r="B5" s="2">
        <v>2.1329206511670201E-4</v>
      </c>
      <c r="C5" s="2">
        <v>2.05785306925053E-4</v>
      </c>
      <c r="D5" s="2">
        <v>2.04239164832342E-4</v>
      </c>
      <c r="E5" s="2">
        <v>3.0495848050823198E-4</v>
      </c>
      <c r="F5" s="2">
        <v>2.00702932634053E-4</v>
      </c>
      <c r="G5" s="2">
        <v>2.2088477930696601E-4</v>
      </c>
      <c r="H5" s="2">
        <v>2.1161035814414801E-4</v>
      </c>
      <c r="I5" s="2">
        <v>2.14293066467945E-4</v>
      </c>
      <c r="J5" s="2">
        <v>3.1983517316469702E-4</v>
      </c>
      <c r="K5" s="2">
        <v>2.0532261838548499E-4</v>
      </c>
      <c r="L5" s="2">
        <v>1.42318319693342E-2</v>
      </c>
      <c r="M5" s="2">
        <v>1.24878912259787E-2</v>
      </c>
      <c r="N5" s="2">
        <v>1.40948416888091E-2</v>
      </c>
      <c r="O5" s="2">
        <v>1.0933880407032101E-2</v>
      </c>
      <c r="P5" s="2">
        <v>1.10074537393737E-2</v>
      </c>
      <c r="Q5" s="2">
        <v>4.9345326616652398E-2</v>
      </c>
      <c r="R5" s="2">
        <v>4.9007178558342801E-2</v>
      </c>
      <c r="S5" s="2">
        <v>5.4665093222405398E-2</v>
      </c>
      <c r="T5" s="2">
        <v>5.10996171709494E-2</v>
      </c>
      <c r="U5" s="2">
        <v>4.8363145830814303E-2</v>
      </c>
      <c r="V5" s="2"/>
      <c r="W5" s="2"/>
      <c r="X5" s="2"/>
    </row>
    <row r="6" spans="1:24" x14ac:dyDescent="0.45">
      <c r="A6" s="1">
        <f t="shared" si="0"/>
        <v>3200</v>
      </c>
      <c r="B6" s="2">
        <v>4.9559592690296003E-4</v>
      </c>
      <c r="C6" s="2">
        <v>4.6151308227460102E-4</v>
      </c>
      <c r="D6" s="2">
        <v>4.71624424322082E-4</v>
      </c>
      <c r="E6" s="2">
        <v>6.9085454380620099E-4</v>
      </c>
      <c r="F6" s="2">
        <v>4.6178310359654601E-4</v>
      </c>
      <c r="G6" s="2">
        <v>5.0486965093158795E-4</v>
      </c>
      <c r="H6" s="2">
        <v>4.7828217595641498E-4</v>
      </c>
      <c r="I6" s="2">
        <v>5.0050702109988201E-4</v>
      </c>
      <c r="J6" s="2">
        <v>7.2648660949525996E-4</v>
      </c>
      <c r="K6" s="2">
        <v>4.6713702955940398E-4</v>
      </c>
      <c r="L6" s="2">
        <v>3.8704583735693202E-2</v>
      </c>
      <c r="M6" s="2">
        <v>3.1935838074525803E-2</v>
      </c>
      <c r="N6" s="2">
        <v>3.7933082294630001E-2</v>
      </c>
      <c r="O6" s="2">
        <v>3.2393191147149301E-2</v>
      </c>
      <c r="P6" s="2">
        <v>2.8666738763812299E-2</v>
      </c>
      <c r="Q6">
        <v>0.16426066061224401</v>
      </c>
      <c r="R6">
        <v>0.160266355068025</v>
      </c>
      <c r="S6">
        <v>0.17755171853741</v>
      </c>
      <c r="T6">
        <v>0.168023730850343</v>
      </c>
      <c r="U6">
        <v>0.16517125210884301</v>
      </c>
    </row>
    <row r="7" spans="1:24" x14ac:dyDescent="0.45">
      <c r="A7" s="1">
        <f t="shared" si="0"/>
        <v>6400</v>
      </c>
      <c r="B7" s="2">
        <v>1.28872724069879E-3</v>
      </c>
      <c r="C7" s="2">
        <v>1.1547063277616799E-3</v>
      </c>
      <c r="D7" s="2">
        <v>1.1508956480652901E-3</v>
      </c>
      <c r="E7" s="2">
        <v>1.80997487254562E-3</v>
      </c>
      <c r="F7" s="2">
        <v>1.17692388535198E-3</v>
      </c>
      <c r="G7" s="2">
        <v>1.2864948176330301E-3</v>
      </c>
      <c r="H7" s="2">
        <v>1.1727648578861E-3</v>
      </c>
      <c r="I7" s="2">
        <v>1.2992192317462499E-3</v>
      </c>
      <c r="J7" s="2">
        <v>2.0151684455782799E-3</v>
      </c>
      <c r="K7" s="2">
        <v>1.09006799070505E-3</v>
      </c>
      <c r="L7" s="2">
        <v>8.9101153388887994E-2</v>
      </c>
      <c r="M7" s="2">
        <v>8.3493792202380804E-2</v>
      </c>
      <c r="N7" s="2">
        <v>9.6629356891524396E-2</v>
      </c>
      <c r="O7" s="2">
        <v>8.1086967865078602E-2</v>
      </c>
      <c r="P7" s="2">
        <v>7.43239725170496E-2</v>
      </c>
      <c r="Q7">
        <v>0.57769400833333395</v>
      </c>
      <c r="R7">
        <v>0.58595433749999604</v>
      </c>
      <c r="S7">
        <v>0.59185468541665798</v>
      </c>
      <c r="T7">
        <v>0.57683094375000998</v>
      </c>
      <c r="U7">
        <v>0.56462404999999904</v>
      </c>
    </row>
    <row r="8" spans="1:24" x14ac:dyDescent="0.45">
      <c r="A8" s="1">
        <f t="shared" si="0"/>
        <v>12800</v>
      </c>
      <c r="B8" s="2">
        <v>3.8285945574569602E-3</v>
      </c>
      <c r="C8" s="2">
        <v>3.5165325859288798E-3</v>
      </c>
      <c r="D8" s="2">
        <v>3.5074851477001402E-3</v>
      </c>
      <c r="E8" s="2">
        <v>4.98336112973143E-3</v>
      </c>
      <c r="F8" s="2">
        <v>3.4301887497767101E-3</v>
      </c>
      <c r="G8" s="2">
        <v>3.8328769437209901E-3</v>
      </c>
      <c r="H8" s="2">
        <v>3.49775595554084E-3</v>
      </c>
      <c r="I8" s="2">
        <v>4.5625445299907301E-3</v>
      </c>
      <c r="J8" s="2">
        <v>6.5368338697524399E-3</v>
      </c>
      <c r="K8" s="2">
        <v>3.1312658193601199E-3</v>
      </c>
      <c r="L8">
        <v>0.20785816472221399</v>
      </c>
      <c r="M8">
        <v>0.19734063277778599</v>
      </c>
      <c r="N8">
        <v>0.211378619166667</v>
      </c>
      <c r="O8">
        <v>0.186859741111116</v>
      </c>
      <c r="P8">
        <v>0.17661674928572099</v>
      </c>
      <c r="Q8">
        <v>2.24653863958333</v>
      </c>
      <c r="R8">
        <v>2.2155165083333301</v>
      </c>
      <c r="S8">
        <v>2.3944430104166701</v>
      </c>
      <c r="T8">
        <v>2.2688234833333198</v>
      </c>
      <c r="U8">
        <v>2.2300808687499898</v>
      </c>
    </row>
    <row r="9" spans="1:24" x14ac:dyDescent="0.45">
      <c r="A9" s="1">
        <f t="shared" si="0"/>
        <v>25600</v>
      </c>
      <c r="B9" s="2">
        <v>9.7624897002422002E-3</v>
      </c>
      <c r="C9" s="2">
        <v>9.2211516019265992E-3</v>
      </c>
      <c r="D9" s="2">
        <v>9.2850957504710795E-3</v>
      </c>
      <c r="E9" s="2">
        <v>1.28477641143156E-2</v>
      </c>
      <c r="F9" s="2">
        <v>8.0852393035069896E-3</v>
      </c>
      <c r="G9" s="2">
        <v>9.9109656550965802E-3</v>
      </c>
      <c r="H9" s="2">
        <v>9.2407978797835102E-3</v>
      </c>
      <c r="I9" s="2">
        <v>1.2323148724659999E-2</v>
      </c>
      <c r="J9" s="2">
        <v>1.5804355430098001E-2</v>
      </c>
      <c r="K9" s="2">
        <v>7.8887364946429398E-3</v>
      </c>
      <c r="L9">
        <v>0.467328883333332</v>
      </c>
      <c r="M9">
        <v>0.43521513958332902</v>
      </c>
      <c r="N9">
        <v>0.46577782083333802</v>
      </c>
      <c r="O9">
        <v>0.43338143541664598</v>
      </c>
      <c r="P9">
        <v>0.406799645833335</v>
      </c>
      <c r="Q9">
        <v>9.5423303729166609</v>
      </c>
      <c r="R9">
        <v>9.6022369791666602</v>
      </c>
      <c r="S9">
        <v>9.9041128583333293</v>
      </c>
      <c r="T9">
        <v>9.7141137333333294</v>
      </c>
      <c r="U9">
        <v>9.5034406354166592</v>
      </c>
    </row>
    <row r="10" spans="1:24" x14ac:dyDescent="0.45">
      <c r="A10" s="1">
        <f t="shared" si="0"/>
        <v>51200</v>
      </c>
      <c r="B10" s="2">
        <v>2.3649743750577299E-2</v>
      </c>
      <c r="C10" s="2">
        <v>2.4059513553773199E-2</v>
      </c>
      <c r="D10" s="2">
        <v>2.41856035874204E-2</v>
      </c>
      <c r="E10" s="2">
        <v>2.946736184738E-2</v>
      </c>
      <c r="F10" s="2">
        <v>1.9078729726163601E-2</v>
      </c>
      <c r="G10" s="2">
        <v>2.3968511712323701E-2</v>
      </c>
      <c r="H10" s="2">
        <v>2.42036365051078E-2</v>
      </c>
      <c r="I10" s="2">
        <v>2.72363075791042E-2</v>
      </c>
      <c r="J10" s="2">
        <v>3.7649436432559101E-2</v>
      </c>
      <c r="K10" s="2">
        <v>1.9194042710101701E-2</v>
      </c>
      <c r="L10">
        <v>0.97324523958332698</v>
      </c>
      <c r="M10">
        <v>0.91356788541665401</v>
      </c>
      <c r="N10">
        <v>0.93561250416666697</v>
      </c>
      <c r="O10">
        <v>0.91304404166664899</v>
      </c>
      <c r="P10">
        <v>0.86063430208333502</v>
      </c>
    </row>
    <row r="11" spans="1:24" x14ac:dyDescent="0.45">
      <c r="A11" s="1">
        <f t="shared" si="0"/>
        <v>102400</v>
      </c>
      <c r="B11" s="2">
        <v>5.01924309212795E-2</v>
      </c>
      <c r="C11" s="2">
        <v>5.4016503899967899E-2</v>
      </c>
      <c r="D11" s="2">
        <v>5.5041795490128401E-2</v>
      </c>
      <c r="E11" s="2">
        <v>6.5086987773513696E-2</v>
      </c>
      <c r="F11" s="2">
        <v>4.1688706003663999E-2</v>
      </c>
      <c r="G11" s="2">
        <v>5.09236173416985E-2</v>
      </c>
      <c r="H11" s="2">
        <v>5.5188598175754597E-2</v>
      </c>
      <c r="I11" s="2">
        <v>6.9966613207397693E-2</v>
      </c>
      <c r="J11" s="2">
        <v>7.0247890326969098E-2</v>
      </c>
      <c r="K11" s="2">
        <v>4.6427317144267198E-2</v>
      </c>
      <c r="L11">
        <v>2.2930553479166602</v>
      </c>
      <c r="M11">
        <v>2.1004359937500099</v>
      </c>
      <c r="N11">
        <v>2.33296657083334</v>
      </c>
      <c r="O11">
        <v>2.1498732937499798</v>
      </c>
      <c r="P11">
        <v>2.1210822645833298</v>
      </c>
    </row>
    <row r="15" spans="1:24" x14ac:dyDescent="0.45">
      <c r="B15">
        <f>RSQ(B2:B11,A2:A11)</f>
        <v>0.99609472980298697</v>
      </c>
      <c r="C15">
        <f>RSQ(C2:C11,A2:A11)</f>
        <v>0.99211809376970606</v>
      </c>
      <c r="D15">
        <f>RSQ(D2:D11,A2:A11)</f>
        <v>0.99140614398076499</v>
      </c>
      <c r="E15">
        <f>RSQ(E2:E11,A2:A11)</f>
        <v>0.99563338326959261</v>
      </c>
      <c r="F15">
        <f>RSQ(F2:F11,A2:A11)</f>
        <v>0.99592952781374178</v>
      </c>
      <c r="G15">
        <f>RSQ(G2:G11,A2:A11)</f>
        <v>0.99601690560659351</v>
      </c>
      <c r="H15">
        <f>RSQ(H2:H11,A2:A11)</f>
        <v>0.99118008168304228</v>
      </c>
      <c r="I15">
        <f>RSQ(I2:I11,A2:A11)</f>
        <v>0.98643746327707871</v>
      </c>
      <c r="J15">
        <f>RSQ(J2:J11,G2:G11)</f>
        <v>0.99612876713228427</v>
      </c>
      <c r="K15">
        <f>RSQ(K2:K11,G2:G11)</f>
        <v>0.99690053703585058</v>
      </c>
      <c r="L15">
        <f>RSQ(L2:L11,A2:A11)</f>
        <v>0.99436457671226086</v>
      </c>
      <c r="M15">
        <f t="shared" ref="M15" si="1">RSQ(M2:M11,J2:J11)</f>
        <v>0.9911338882679458</v>
      </c>
      <c r="N15">
        <f>RSQ(N2:N11,J2:J11)</f>
        <v>0.98402856140564277</v>
      </c>
      <c r="O15">
        <f>RSQ(O2:O11,M2:M11)</f>
        <v>0.99986872246375813</v>
      </c>
    </row>
    <row r="20" spans="2:21" x14ac:dyDescent="0.45">
      <c r="R20" s="2"/>
      <c r="S20" s="2"/>
      <c r="T20" s="2"/>
      <c r="U20" s="2"/>
    </row>
    <row r="21" spans="2:21" x14ac:dyDescent="0.45">
      <c r="R21" s="2"/>
      <c r="S21" s="2"/>
      <c r="T21" s="2"/>
      <c r="U21" s="2"/>
    </row>
    <row r="22" spans="2:21" x14ac:dyDescent="0.45">
      <c r="B22" s="2"/>
      <c r="R22" s="2"/>
      <c r="S22" s="2"/>
      <c r="T22" s="2"/>
      <c r="U22" s="2"/>
    </row>
    <row r="23" spans="2:21" x14ac:dyDescent="0.45">
      <c r="B23" s="2"/>
      <c r="R23" s="2"/>
      <c r="S23" s="2"/>
      <c r="T23" s="2"/>
      <c r="U23" s="2"/>
    </row>
    <row r="24" spans="2:21" x14ac:dyDescent="0.45">
      <c r="B24" s="2"/>
      <c r="R24" s="2"/>
      <c r="S24" s="2"/>
      <c r="T24" s="2"/>
      <c r="U24" s="2"/>
    </row>
    <row r="25" spans="2:21" x14ac:dyDescent="0.45">
      <c r="B25" s="2"/>
      <c r="R25" s="2"/>
      <c r="S25" s="2"/>
      <c r="T25" s="2"/>
      <c r="U25" s="2"/>
    </row>
    <row r="26" spans="2:21" x14ac:dyDescent="0.45">
      <c r="B26" s="2"/>
      <c r="R26" s="2"/>
      <c r="S26" s="2"/>
      <c r="T26" s="2"/>
      <c r="U26" s="2"/>
    </row>
    <row r="27" spans="2:21" x14ac:dyDescent="0.45">
      <c r="B27" s="2"/>
      <c r="R27" s="2"/>
      <c r="S27" s="2"/>
      <c r="T27" s="2"/>
      <c r="U27" s="2"/>
    </row>
    <row r="28" spans="2:21" x14ac:dyDescent="0.45">
      <c r="B28" s="2"/>
    </row>
    <row r="29" spans="2:21" x14ac:dyDescent="0.45">
      <c r="B29" s="2"/>
    </row>
    <row r="30" spans="2:21" x14ac:dyDescent="0.45">
      <c r="B30" s="2"/>
    </row>
    <row r="31" spans="2:21" x14ac:dyDescent="0.45">
      <c r="B31" s="2"/>
    </row>
    <row r="32" spans="2:21" x14ac:dyDescent="0.45">
      <c r="B32" s="2"/>
    </row>
    <row r="33" spans="2:2" x14ac:dyDescent="0.45">
      <c r="B33" s="2"/>
    </row>
    <row r="34" spans="2:2" x14ac:dyDescent="0.45">
      <c r="B34" s="2"/>
    </row>
  </sheetData>
  <phoneticPr fontId="1" type="noConversion"/>
  <pageMargins left="0.7" right="0.7" top="0.75" bottom="0.75" header="0.3" footer="0.3"/>
  <pageSetup paperSize="9" orientation="portrait" horizontalDpi="0" verticalDpi="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FC915-4910-4BA0-AC35-8F1680A13241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BF8AB2-A6A6-4B07-9408-A7E1B401CE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results</vt:lpstr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Jens Nys</dc:creator>
  <cp:lastModifiedBy>Jens Nys</cp:lastModifiedBy>
  <dcterms:created xsi:type="dcterms:W3CDTF">2026-05-11T14:58:12Z</dcterms:created>
  <dcterms:modified xsi:type="dcterms:W3CDTF">2026-05-26T21:08:44Z</dcterms:modified>
</cp:coreProperties>
</file>